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ETAPAS" sheetId="2" state="visible" r:id="rId2"/>
  </sheets>
  <definedNames>
    <definedName name="_xlnm._FilterDatabase" localSheetId="0" hidden="1">'INDICADORES'!$A$4:$K$31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Consolas"/>
      <sz val="8.5"/>
    </font>
    <font>
      <name val="Arial"/>
      <color rgb="009C0006"/>
      <sz val="9"/>
    </font>
    <font>
      <name val="Arial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6" customWidth="1" min="4" max="4"/>
    <col width="62" customWidth="1" min="5" max="5"/>
    <col width="22" customWidth="1" min="6" max="6"/>
    <col width="34" customWidth="1" min="7" max="7"/>
    <col width="34" customWidth="1" min="8" max="8"/>
    <col width="74" customWidth="1" min="9" max="9"/>
    <col width="74" customWidth="1" min="10" max="10"/>
    <col width="58" customWidth="1" min="11" max="11"/>
  </cols>
  <sheetData>
    <row r="1">
      <c r="A1" s="1" t="inlineStr">
        <is>
          <t>DICCIONARIO DE INDICADORES — ERP NOVONET / VELSA</t>
        </is>
      </c>
    </row>
    <row r="2">
      <c r="A2" s="2" t="inlineStr">
        <is>
          <t>Versión 2026-08-17 · Reemplaza :desde y :hasta por las fechas que quieras probar en pgAdmin. Las listas de etapas son la copia exacta de backend/src/shared/etapas.js (fuente única de verdad).</t>
        </is>
      </c>
    </row>
    <row r="4" ht="32" customHeight="1">
      <c r="A4" s="3" t="inlineStr">
        <is>
          <t>#</t>
        </is>
      </c>
      <c r="B4" s="3" t="inlineStr">
        <is>
          <t>MÓDULO</t>
        </is>
      </c>
      <c r="C4" s="3" t="inlineStr">
        <is>
          <t>INDICADOR (pantalla)</t>
        </is>
      </c>
      <c r="D4" s="3" t="inlineStr">
        <is>
          <t>CAMPO TÉCNICO</t>
        </is>
      </c>
      <c r="E4" s="3" t="inlineStr">
        <is>
          <t>QUÉ SIGNIFICA / CÓMO SE CALCULA</t>
        </is>
      </c>
      <c r="F4" s="3" t="inlineStr">
        <is>
          <t>BASE DE FECHA</t>
        </is>
      </c>
      <c r="G4" s="3" t="inlineStr">
        <is>
          <t>NUMERADOR</t>
        </is>
      </c>
      <c r="H4" s="3" t="inlineStr">
        <is>
          <t>DENOMINADOR</t>
        </is>
      </c>
      <c r="I4" s="3" t="inlineStr">
        <is>
          <t>SQL NOVONET</t>
        </is>
      </c>
      <c r="J4" s="3" t="inlineStr">
        <is>
          <t>SQL VELSA</t>
        </is>
      </c>
      <c r="K4" s="3" t="inlineStr">
        <is>
          <t>OJO / DIFERENCIAS</t>
        </is>
      </c>
    </row>
    <row r="5" ht="58" customHeight="1">
      <c r="A5" s="4" t="n">
        <v>1</v>
      </c>
      <c r="B5" s="5" t="inlineStr">
        <is>
          <t>0. REGLA BASE</t>
        </is>
      </c>
      <c r="C5" s="5" t="inlineStr">
        <is>
          <t>Etapas que NO son lead</t>
        </is>
      </c>
      <c r="D5" s="5" t="inlineStr">
        <is>
          <t>ETAPAS_NO_SUMAN_LEAD</t>
        </is>
      </c>
      <c r="E5" s="5" t="inlineStr">
        <is>
          <t>Estas 5 etapas NO se cuentan como lead nuevo: son ruido que infla el denominador y baja todos los %. DUPLICADO = el cliente ya existe. REGULARIZACION = trámite sobre una venta ya hecha. REMARKETING = re-contacto de base vieja.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6" t="inlineStr">
        <is>
          <t>-- Lista oficial (shared/etapas.js)
UPPER(TRIM(etapa)) IN ('DUPLICADO','DUPLLICADO','REGULARIZACION','REGULARIZACIÓN','REMARKETING')</t>
        </is>
      </c>
      <c r="J5" s="6" t="inlineStr">
        <is>
          <t>UPPER(TRIM(mv.etapa_crm)) IN ('DUPLICADO','DUPLLICADO','REGULARIZACION','REGULARIZACIÓN','REMARKETING')</t>
        </is>
      </c>
      <c r="K5" s="7" t="inlineStr">
        <is>
          <t>Incluye el typo real 'DUPLLICADO' y 'REGULARIZACIÓN' con tilde. Comparación siempre UPPER+TRIM.</t>
        </is>
      </c>
    </row>
    <row r="6" ht="58" customHeight="1">
      <c r="A6" s="8" t="n">
        <v>2</v>
      </c>
      <c r="B6" s="9" t="inlineStr">
        <is>
          <t>0. REGLA BASE</t>
        </is>
      </c>
      <c r="C6" s="9" t="inlineStr">
        <is>
          <t>Etapas NO gestionables</t>
        </is>
      </c>
      <c r="D6" s="9" t="inlineStr">
        <is>
          <t>ETAPAS_NO_GESTIONABLES</t>
        </is>
      </c>
      <c r="E6" s="9" t="inlineStr">
        <is>
          <t>Gestionable = TODO lo que NO está en esta lista. O sea: quito ATC, soporte, fuera de cobertura, zona peligrosa, postventa y Paramount; más las 5 de arriba (si no es lead, tampoco puede ser gestionable).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  <c r="I6" s="10" t="inlineStr">
        <is>
          <t>-- NOVONET: INNEGOCIABLE SÍ es gestionable
UPPER(TRIM(etapa)) NOT IN ('ATC','ATC/SOPORTE','FUERA DE COBERTURA','ZONA PELIGROSA','ZONAS PELIGROSAS','POSTVENTA','CONTRATO PARAMOUNT','PARAMOUNT SEGUMIENTO POR CERRAR','PARAMOUNT SEGUIMIENTO POR CERRAR','DUPLICADO','DUPLLICADO','REGULARIZACION','REGULARIZACIÓN','REMARKETING')</t>
        </is>
      </c>
      <c r="J6" s="10" t="inlineStr">
        <is>
          <t>-- VELSA: INNEGOCIABLE NO es gestionable
UPPER(TRIM(mv.etapa_crm)) NOT IN ('ATC','ATC/SOPORTE','FUERA DE COBERTURA','ZONA PELIGROSA','ZONAS PELIGROSAS','POSTVENTA','CONTRATO PARAMOUNT','PARAMOUNT SEGUMIENTO POR CERRAR','PARAMOUNT SEGUIMIENTO POR CERRAR','DUPLICADO','DUPLLICADO','REGULARIZACION','REGULARIZACIÓN','REMARKETING','INNEGOCIABLE')</t>
        </is>
      </c>
      <c r="K6" s="11" t="inlineStr">
        <is>
          <t>*** ÚNICA DIFERENCIA REAL ENTRE EMPRESAS *** Novonet cuenta INNEGOCIABLE como gestionable, Velsa no. 36 leads en agosto = 1,8 puntos de diferencia.</t>
        </is>
      </c>
    </row>
    <row r="7" ht="58" customHeight="1">
      <c r="A7" s="8" t="n">
        <v>3</v>
      </c>
      <c r="B7" s="9" t="inlineStr">
        <is>
          <t>0. REGLA BASE</t>
        </is>
      </c>
      <c r="C7" s="9" t="inlineStr">
        <is>
          <t>Etapas de DESCARTE</t>
        </is>
      </c>
      <c r="D7" s="9" t="inlineStr">
        <is>
          <t>ETAPAS_DESCARTE_SI</t>
        </is>
      </c>
      <c r="E7" s="9" t="inlineStr">
        <is>
          <t>Subconjunto de las gestionables. Son las que se gestionaron y se perdieron. El resto de gestionables es descarte = NO.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10" t="inlineStr">
        <is>
          <t>UPPER(TRIM(etapa)) IN ('CONTRATO NETLIFE','DESCARTE','DESISTE DE COMPRA','MANTIENE PROVEEDOR','NO INTERESA COSTO PLAN','NO VOLVER A CONTACTAR','OTRO PROVEEDOR','DESCARTE REMARKETIZADO','CONTRATO NETLIFE POR OTRO CANAL','DESCARTE PLAN DE 200','NO INTERESA COSTO INSTALACIÓN','NO INTERESA COSTO INSTALACION')</t>
        </is>
      </c>
      <c r="J7" s="10" t="inlineStr">
        <is>
          <t>UPPER(TRIM(mv.etapa_crm)) IN ('CONTRATO NETLIFE','DESCARTE','DESISTE DE COMPRA','MANTIENE PROVEEDOR','NO INTERESA COSTO PLAN','NO VOLVER A CONTACTAR','OTRO PROVEEDOR','DESCARTE REMARKETIZADO','CONTRATO NETLIFE POR OTRO CANAL','DESCARTE PLAN DE 200','NO INTERESA COSTO INSTALACIÓN','NO INTERESA COSTO INSTALACION')</t>
        </is>
      </c>
      <c r="K7" s="11" t="inlineStr">
        <is>
          <t>Idéntico en ambas empresas.</t>
        </is>
      </c>
    </row>
    <row r="8" ht="58" customHeight="1">
      <c r="A8" s="8" t="n">
        <v>4</v>
      </c>
      <c r="B8" s="9" t="inlineStr">
        <is>
          <t>0. REGLA BASE</t>
        </is>
      </c>
      <c r="C8" s="9" t="inlineStr">
        <is>
          <t>Las 3 bases de fecha</t>
        </is>
      </c>
      <c r="D8" s="9" t="inlineStr">
        <is>
          <t>FECHA CRM / JOT / ACTIVACIÓN</t>
        </is>
      </c>
      <c r="E8" s="9" t="inlineStr">
        <is>
          <t>Casi todo 'no cuadra' viene de mezclar fechas. FECHA CRM = cuándo se creó en Bitrix. FECHA JOT = cuándo se registró la venta en Jotform. FECHA ACTIVACIÓN = cuándo Netlife activó. Indicador del lado CRM usa FECHA CRM; del lado Jotform usa FECHA JOT.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10" t="inlineStr">
        <is>
          <t>_bc_date   = b_creado_el_fecha
_jf_date   = parse_fecha_flex(j_fecha_registro_sistema)
_jfact_date= parse_fecha_flex(j_fecha_activacion_netlife)</t>
        </is>
      </c>
      <c r="J8" s="10" t="inlineStr">
        <is>
          <t>CRM_DATE = mv.fecha_creacion_crm::date
JF_DATE  = (mv.fecha_registro_jotform - INTERVAL '5 hours')::date
ACT_DATE = mv.fecha_activacion::date</t>
        </is>
      </c>
      <c r="K8" s="11" t="inlineStr">
        <is>
          <t>Velsa resta 5 h porque fecha_registro_jotform viene en UTC. Novonet ya viene en hora local.</t>
        </is>
      </c>
    </row>
    <row r="9" ht="78" customHeight="1">
      <c r="A9" s="4" t="n">
        <v>5</v>
      </c>
      <c r="B9" s="5" t="inlineStr">
        <is>
          <t>1. VOLUMEN CRM</t>
        </is>
      </c>
      <c r="C9" s="5" t="inlineStr">
        <is>
          <t>LEADS TOTALES</t>
        </is>
      </c>
      <c r="D9" s="5" t="inlineStr">
        <is>
          <t>leads_totales</t>
        </is>
      </c>
      <c r="E9" s="5" t="inlineStr">
        <is>
          <t>Todos los leads creados en el rango, MENOS duplicados, remarketing y regularización. Cuenta IDs únicos, no filas: un lead con 5 servicios Jotform aparece 5 veces y contarlo así lo inflaría.</t>
        </is>
      </c>
      <c r="F9" s="5" t="inlineStr">
        <is>
          <t>FECHA CRM</t>
        </is>
      </c>
      <c r="G9" s="5" t="inlineStr">
        <is>
          <t>IDs de negociación únicos creados en el rango, con etapa válida</t>
        </is>
      </c>
      <c r="H9" s="5" t="inlineStr">
        <is>
          <t>— (es un conteo, no un %)</t>
        </is>
      </c>
      <c r="I9" s="6" t="inlineStr">
        <is>
          <t>SELECT COUNT(DISTINCT b_id) AS leads_totales
FROM public.vw_bitrix_novonet
WHERE b_creado_el_fecha BETWEEN :desde AND :hasta
  AND UPPER(TRIM(COALESCE(b_etapa_de_la_negociacion,''))) NOT IN ('DUPLICADO','DUPLLICADO','REGULARIZACION','REGULARIZACIÓN','REMARKETING')
  AND UPPER(TRIM(COALESCE(b_origen,''))) &lt;&gt; 'REMARKETING';</t>
        </is>
      </c>
      <c r="J9" s="6" t="inlineStr">
        <is>
          <t>SELECT COUNT(DISTINCT mv.id_crm) AS leads_totales
FROM public.mv_indicadores_velsa_completo mv
WHERE mv.fecha_creacion_crm::date BETWEEN :desde AND :hasta
  AND UPPER(TRIM(COALESCE(mv.etapa_crm,''))) NOT IN ('DUPLICADO','DUPLLICADO','REGULARIZACION','REGULARIZACIÓN','REMARKETING');</t>
        </is>
      </c>
      <c r="K9" s="7" t="inlineStr">
        <is>
          <t>Novonet además descarta el ORIGEN literal 'REMARKETING'. Velsa NO filtra orígenes (decisión tuya: leads totales trae todo).</t>
        </is>
      </c>
    </row>
    <row r="10" ht="78" customHeight="1">
      <c r="A10" s="8" t="n">
        <v>6</v>
      </c>
      <c r="B10" s="9" t="inlineStr">
        <is>
          <t>1. VOLUMEN CRM</t>
        </is>
      </c>
      <c r="C10" s="9" t="inlineStr">
        <is>
          <t>GESTIONABLES</t>
        </is>
      </c>
      <c r="D10" s="9" t="inlineStr">
        <is>
          <t>gestionables</t>
        </is>
      </c>
      <c r="E10" s="9" t="inlineStr">
        <is>
          <t>De los leads totales, los que el asesor SÍ puede trabajar. Quito ATC/soporte, fuera de cobertura, zona peligrosa, postventa y Paramount.</t>
        </is>
      </c>
      <c r="F10" s="9" t="inlineStr">
        <is>
          <t>FECHA CRM (la MISMA que leads totales)</t>
        </is>
      </c>
      <c r="G10" s="9" t="inlineStr">
        <is>
          <t>IDs únicos con etapa gestionable</t>
        </is>
      </c>
      <c r="H10" s="9" t="inlineStr">
        <is>
          <t>—</t>
        </is>
      </c>
      <c r="I10" s="10" t="inlineStr">
        <is>
          <t>SELECT COUNT(DISTINCT b_id) AS gestionables
FROM public.vw_bitrix_novonet
WHERE b_creado_el_fecha BETWEEN :desde AND :hasta
  AND UPPER(TRIM(COALESCE(b_etapa_de_la_negociacion,''))) NOT IN ('ATC','ATC/SOPORTE','FUERA DE COBERTURA','ZONA PELIGROSA','ZONAS PELIGROSAS','POSTVENTA','CONTRATO PARAMOUNT','PARAMOUNT SEGUMIENTO POR CERRAR','PARAMOUNT SEGUIMIENTO POR CERRAR','DUPLICADO','DUPLLICADO','REGULARIZACION','REGULARIZACIÓN','REMARKETING')
  AND UPPER(TRIM(COALESCE(b_origen,''))) &lt;&gt; 'REMARKETING';</t>
        </is>
      </c>
      <c r="J10" s="10" t="inlineStr">
        <is>
          <t>SELECT COUNT(DISTINCT mv.id_crm) AS gestionables
FROM public.mv_indicadores_velsa_completo mv
WHERE mv.fecha_creacion_crm::date BETWEEN :desde AND :hasta
  AND UPPER(TRIM(COALESCE(mv.etapa_crm,''))) NOT IN ('ATC','ATC/SOPORTE','FUERA DE COBERTURA','ZONA PELIGROSA','ZONAS PELIGROSAS','POSTVENTA','CONTRATO PARAMOUNT','PARAMOUNT SEGUMIENTO POR CERRAR','PARAMOUNT SEGUIMIENTO POR CERRAR','DUPLICADO','DUPLLICADO','REGULARIZACION','REGULARIZACIÓN','REMARKETING','INNEGOCIABLE');</t>
        </is>
      </c>
      <c r="K10" s="11" t="inlineStr">
        <is>
          <t>Usa la MISMA base de fecha que leads totales, para que SIEMPRE sea un subconjunto. Antes usaba una ventana más amplia y gestionables llegaba a superar a leads totales (imposible).</t>
        </is>
      </c>
    </row>
    <row r="11" ht="58" customHeight="1">
      <c r="A11" s="8" t="n">
        <v>7</v>
      </c>
      <c r="B11" s="9" t="inlineStr">
        <is>
          <t>1. VOLUMEN CRM</t>
        </is>
      </c>
      <c r="C11" s="9" t="inlineStr">
        <is>
          <t>% GEST. VS TOTALES</t>
        </is>
      </c>
      <c r="D11" s="9" t="inlineStr">
        <is>
          <t>pctGestionablesVsTotales</t>
        </is>
      </c>
      <c r="E11" s="9" t="inlineStr">
        <is>
          <t>De cada 100 leads que entran, cuántos son realmente trabajables. Si baja, está entrando más basura (ATC, fuera de cobertura).</t>
        </is>
      </c>
      <c r="F11" s="9" t="inlineStr">
        <is>
          <t>FECHA CRM</t>
        </is>
      </c>
      <c r="G11" s="9" t="inlineStr">
        <is>
          <t>Gestionables</t>
        </is>
      </c>
      <c r="H11" s="9" t="inlineStr">
        <is>
          <t>Leads Totales</t>
        </is>
      </c>
      <c r="I11" s="10" t="inlineStr">
        <is>
          <t>-- Se calcula en el frontend: se SUMAN todas las filas primero
-- y recién ahí se divide. NO se promedian porcentajes.
SELECT ROUND(gestionables::numeric / NULLIF(leads_totales,0) * 100, 1);</t>
        </is>
      </c>
      <c r="J11" s="10" t="inlineStr">
        <is>
          <t>-- Idéntico (mismo cálculo, distinta tabla)</t>
        </is>
      </c>
      <c r="K11" s="11" t="inlineStr">
        <is>
          <t>Ojo: promediar los % de cada supervisor da un número distinto al correcto. Aquí se suma primero.</t>
        </is>
      </c>
    </row>
    <row r="12" ht="65" customHeight="1">
      <c r="A12" s="8" t="n">
        <v>8</v>
      </c>
      <c r="B12" s="9" t="inlineStr">
        <is>
          <t>1. VOLUMEN CRM</t>
        </is>
      </c>
      <c r="C12" s="9" t="inlineStr">
        <is>
          <t>INGRESOS CRM</t>
        </is>
      </c>
      <c r="D12" s="9" t="inlineStr">
        <is>
          <t>ventas_crm</t>
        </is>
      </c>
      <c r="E12" s="9" t="inlineStr">
        <is>
          <t>Leads que llegaron a la etapa VENTA SUBIDA en Bitrix, contados por la fecha en que se CREÓ el lead.</t>
        </is>
      </c>
      <c r="F12" s="9" t="inlineStr">
        <is>
          <t>FECHA CRM</t>
        </is>
      </c>
      <c r="G12" s="9" t="inlineStr">
        <is>
          <t>IDs únicos en etapa 'VENTA SUBIDA'</t>
        </is>
      </c>
      <c r="H12" s="9" t="inlineStr">
        <is>
          <t>—</t>
        </is>
      </c>
      <c r="I12" s="10" t="inlineStr">
        <is>
          <t>SELECT COUNT(DISTINCT b_id) AS ventas_crm
FROM public.vw_bitrix_novonet
WHERE b_creado_el_fecha BETWEEN :desde AND :hasta
  AND b_etapa_de_la_negociacion = 'VENTA SUBIDA';</t>
        </is>
      </c>
      <c r="J12" s="10" t="inlineStr">
        <is>
          <t>SELECT COUNT(DISTINCT mv.id_crm) AS ventas_crm
FROM public.mv_indicadores_velsa_completo mv
WHERE mv.fecha_creacion_crm::date BETWEEN :desde AND :hasta
  AND UPPER(TRIM(mv.etapa_crm)) = 'VENTA SUBIDA';</t>
        </is>
      </c>
      <c r="K12" s="11" t="inlineStr">
        <is>
          <t>Cambio 2026-07-28: va por fecha de CREACIÓN, ya no por fecha de cerrado.</t>
        </is>
      </c>
    </row>
    <row r="13" ht="143" customHeight="1">
      <c r="A13" s="8" t="n">
        <v>9</v>
      </c>
      <c r="B13" s="9" t="inlineStr">
        <is>
          <t>1. VOLUMEN CRM</t>
        </is>
      </c>
      <c r="C13" s="9" t="inlineStr">
        <is>
          <t>DESCARTE %</t>
        </is>
      </c>
      <c r="D13" s="9" t="inlineStr">
        <is>
          <t>descarte</t>
        </is>
      </c>
      <c r="E13" s="9" t="inlineStr">
        <is>
          <t>De lo gestionable, qué porcentaje se perdió. OJO: el divisor NO es el número 'Gestionables' que ves en pantalla — usa una ventana de fecha más amplia.</t>
        </is>
      </c>
      <c r="F13" s="9" t="inlineStr">
        <is>
          <t>FECHA CRM (numerador) / ventana AMPLIA (denominador)</t>
        </is>
      </c>
      <c r="G13" s="9" t="inlineStr">
        <is>
          <t>Leads en etapa de descarte</t>
        </is>
      </c>
      <c r="H13" s="9" t="inlineStr">
        <is>
          <t>Gestionables en ventana AMPLIA (FECHA JOT ∈ rango OR FECHA CRM ∈ rango)</t>
        </is>
      </c>
      <c r="I13" s="10" t="inlineStr">
        <is>
          <t>SELECT ROUND(
  COUNT(*) FILTER (WHERE UPPER(TRIM(b_etapa_de_la_negociacion)) IN ('CONTRATO NETLIFE','DESCARTE','DESISTE DE COMPRA','MANTIENE PROVEEDOR','NO INTERESA COSTO PLAN','NO VOLVER A CONTACTAR','OTRO PROVEEDOR','DESCARTE REMARKETIZADO','CONTRATO NETLIFE POR OTRO CANAL','DESCARTE PLAN DE 200','NO INTERESA COSTO INSTALACIÓN','NO INTERESA COSTO INSTALACION')
                     AND b_creado_el_fecha BETWEEN :desde AND :hasta)::numeric
  / NULLIF(COUNT(*) FILTER (
      WHERE (parse_fecha_flex(j_fecha_registro_sistema::text) BETWEEN :desde AND :hasta
             OR b_creado_el_fecha BETWEEN :desde AND :hasta)
        AND UPPER(TRIM(COALESCE(b_etapa_de_la_negociacion,''))) NOT IN ('ATC','ATC/SOPORTE','FUERA DE COBERTURA','ZONA PELIGROSA','ZONAS PELIGROSAS','POSTVENTA','CONTRATO PARAMOUNT','PARAMOUNT SEGUMIENTO POR CERRAR','PARAMOUNT SEGUIMIENTO POR CERRAR','DUPLICADO','DUPLLICADO','REGULARIZACION','REGULARIZACIÓN','REMARKETING')
    ),0) * 100, 2) AS descarte
FROM public.vw_bitrix_novonet;</t>
        </is>
      </c>
      <c r="J13" s="10" t="inlineStr">
        <is>
          <t>-- Velsa replica la MISMA ventana amplia (constante GEST_AMPLIO)
SELECT ROUND(
  COUNT(*) FILTER (WHERE UPPER(TRIM(mv.etapa_crm)) IN ('CONTRATO NETLIFE','DESCARTE','DESISTE DE COMPRA','MANTIENE PROVEEDOR','NO INTERESA COSTO PLAN','NO VOLVER A CONTACTAR','OTRO PROVEEDOR','DESCARTE REMARKETIZADO','CONTRATO NETLIFE POR OTRO CANAL','DESCARTE PLAN DE 200','NO INTERESA COSTO INSTALACIÓN','NO INTERESA COSTO INSTALACION')
                     AND mv.fecha_creacion_crm::date BETWEEN :desde AND :hasta)::numeric
  / NULLIF(COUNT(*) FILTER (
      WHERE ((mv.fecha_registro_jotform - INTERVAL '5 hours')::date BETWEEN :desde AND :hasta
             OR mv.fecha_creacion_crm::date BETWEEN :desde AND :hasta)
        AND UPPER(TRIM(COALESCE(mv.etapa_crm,''))) NOT IN ('ATC','ATC/SOPORTE','FUERA DE COBERTURA','ZONA PELIGROSA','ZONAS PELIGROSAS','POSTVENTA','CONTRATO PARAMOUNT','PARAMOUNT SEGUMIENTO POR CERRAR','PARAMOUNT SEGUIMIENTO POR CERRAR','DUPLICADO','DUPLLICADO','REGULARIZACION','REGULARIZACIÓN','REMARKETING','INNEGOCIABLE')
    ),0) * 100, 2) AS descarte
FROM public.mv_indicadores_velsa_completo mv;</t>
        </is>
      </c>
      <c r="K13" s="11" t="inlineStr">
        <is>
          <t>*** PENDIENTE DE GERENCIA *** El denominador no coincide con la columna 'Gestionables' de pantalla. Es herencia de Novonet; Velsa lo copia igual para que ambos den lo mismo.</t>
        </is>
      </c>
    </row>
    <row r="14" ht="58" customHeight="1">
      <c r="A14" s="4" t="n">
        <v>10</v>
      </c>
      <c r="B14" s="5" t="inlineStr">
        <is>
          <t>2. INGRESO JOTFORM</t>
        </is>
      </c>
      <c r="C14" s="5" t="inlineStr">
        <is>
          <t>INGRESOS TOT. JOT</t>
        </is>
      </c>
      <c r="D14" s="5" t="inlineStr">
        <is>
          <t>ingresos_reales</t>
        </is>
      </c>
      <c r="E14" s="5" t="inlineStr">
        <is>
          <t>Todas las ventas registradas en Jotform en el rango. Aquí SÍ se cuentan filas (COUNT(*)), porque cada fila es una venta distinta.</t>
        </is>
      </c>
      <c r="F14" s="5" t="inlineStr">
        <is>
          <t>FECHA JOT</t>
        </is>
      </c>
      <c r="G14" s="5" t="inlineStr">
        <is>
          <t>Filas Jotform en el rango</t>
        </is>
      </c>
      <c r="H14" s="5" t="inlineStr">
        <is>
          <t>—</t>
        </is>
      </c>
      <c r="I14" s="6" t="inlineStr">
        <is>
          <t>SELECT COUNT(*) AS ingresos_reales
FROM public.vw_bitrix_novonet
WHERE parse_fecha_flex(j_fecha_registro_sistema::text) BETWEEN :desde AND :hasta;</t>
        </is>
      </c>
      <c r="J14" s="6" t="inlineStr">
        <is>
          <t>SELECT COUNT(*) AS ingresos_reales
FROM public.mv_indicadores_velsa_completo mv
WHERE (mv.fecha_registro_jotform - INTERVAL '5 hours')::date BETWEEN :desde AND :hasta;</t>
        </is>
      </c>
      <c r="K14" s="7" t="inlineStr">
        <is>
          <t>COUNT(*) y no COUNT(DISTINCT): un cliente con 3 servicios son 3 ventas.</t>
        </is>
      </c>
    </row>
    <row r="15" ht="104" customHeight="1">
      <c r="A15" s="8" t="n">
        <v>11</v>
      </c>
      <c r="B15" s="9" t="inlineStr">
        <is>
          <t>2. INGRESO JOTFORM</t>
        </is>
      </c>
      <c r="C15" s="9" t="inlineStr">
        <is>
          <t>INGRESOS CRM DÍA</t>
        </is>
      </c>
      <c r="D15" s="9" t="inlineStr">
        <is>
          <t>ventas_del_dia</t>
        </is>
      </c>
      <c r="E15" s="9" t="inlineStr">
        <is>
          <t>Ventas que se cerraron el MISMO día que entró el lead. Mide la venta en caliente, sin seguimiento.</t>
        </is>
      </c>
      <c r="F15" s="9" t="inlineStr">
        <is>
          <t>FECHA JOT (y FECHA CRM = FECHA JOT)</t>
        </is>
      </c>
      <c r="G15" s="9" t="inlineStr">
        <is>
          <t>VENTA SUBIDA donde fecha de creación = fecha de registro Jotform</t>
        </is>
      </c>
      <c r="H15" s="9" t="inlineStr">
        <is>
          <t>—</t>
        </is>
      </c>
      <c r="I15" s="10" t="inlineStr">
        <is>
          <t>SELECT COUNT(DISTINCT mb_jot.j_id_bitrix) AS ventas_del_dia
FROM public.mestra_bitrix mb_jot
JOIN public.vw_bitrix_novonet mb_crm
  ON mb_crm.b_id::text = mb_jot.j_id_bitrix::text
WHERE parse_fecha_flex(mb_jot.j_fecha_registro_sistema::text) BETWEEN :desde AND :hasta
  AND mb_crm.b_etapa_de_la_negociacion = 'VENTA SUBIDA'
  AND mb_crm.b_creado_el_fecha = parse_fecha_flex(mb_jot.j_fecha_registro_sistema::text);</t>
        </is>
      </c>
      <c r="J15" s="10" t="inlineStr">
        <is>
          <t>SELECT COUNT(DISTINCT mv.id_crm) AS ventas_del_dia
FROM public.mv_indicadores_velsa_completo mv
WHERE UPPER(TRIM(mv.etapa_crm)) = 'VENTA SUBIDA'
  AND (mv.fecha_registro_jotform - INTERVAL '5 hours')::date BETWEEN :desde AND :hasta
  AND mv.fecha_creacion_crm::date = (mv.fecha_registro_jotform - INTERVAL '5 hours')::date;</t>
        </is>
      </c>
      <c r="K15" s="11" t="inlineStr">
        <is>
          <t>Novonet lo resuelve con self-join porque el lado JOT vive en mestra_bitrix; Velsa lo tiene todo en la MV.</t>
        </is>
      </c>
    </row>
    <row r="16" ht="58" customHeight="1">
      <c r="A16" s="8" t="n">
        <v>12</v>
      </c>
      <c r="B16" s="9" t="inlineStr">
        <is>
          <t>2. INGRESO JOTFORM</t>
        </is>
      </c>
      <c r="C16" s="9" t="inlineStr">
        <is>
          <t>INGRESOS JOT DÍA</t>
        </is>
      </c>
      <c r="D16" s="9" t="inlineStr">
        <is>
          <t>ventas_dia_form</t>
        </is>
      </c>
      <c r="E16" s="9" t="inlineStr">
        <is>
          <t>El mismo número que 'Ingresos CRM día', pero mostrado del lado Jotform.</t>
        </is>
      </c>
      <c r="F16" s="9" t="inlineStr">
        <is>
          <t>FECHA JOT</t>
        </is>
      </c>
      <c r="G16" s="9">
        <f> ventas_del_dia</f>
        <v/>
      </c>
      <c r="H16" s="9" t="inlineStr">
        <is>
          <t>—</t>
        </is>
      </c>
      <c r="I16" s="10" t="inlineStr">
        <is>
          <t>-- Novonet: se copia en mergeVentasDia()
ventas_dia_form := ventas_del_dia</t>
        </is>
      </c>
      <c r="J16" s="10" t="inlineStr">
        <is>
          <t>-- Velsa: se copia en mergeBacklog()
ventas_dia_form := ventas_del_dia</t>
        </is>
      </c>
      <c r="K16" s="11" t="inlineStr">
        <is>
          <t>CORREGIDO 2026-08-17: Velsa nunca devolvía este campo, la tarjeta salía siempre en 0.</t>
        </is>
      </c>
    </row>
    <row r="17" ht="58" customHeight="1">
      <c r="A17" s="8" t="n">
        <v>13</v>
      </c>
      <c r="B17" s="9" t="inlineStr">
        <is>
          <t>2. INGRESO JOTFORM</t>
        </is>
      </c>
      <c r="C17" s="9" t="inlineStr">
        <is>
          <t>INGRESOS JOT SEG.</t>
        </is>
      </c>
      <c r="D17" s="9" t="inlineStr">
        <is>
          <t>venta_seguimiento</t>
        </is>
      </c>
      <c r="E17" s="9" t="inlineStr">
        <is>
          <t>Ventas que NO se cerraron el mismo día: necesitaron seguimiento. Es el resto.</t>
        </is>
      </c>
      <c r="F17" s="9" t="inlineStr">
        <is>
          <t>FECHA JOT</t>
        </is>
      </c>
      <c r="G17" s="9" t="inlineStr">
        <is>
          <t>—</t>
        </is>
      </c>
      <c r="H17" s="9" t="inlineStr">
        <is>
          <t>—</t>
        </is>
      </c>
      <c r="I17" s="10" t="inlineStr">
        <is>
          <t>venta_seguimiento := GREATEST(0, ingresos_reales - ventas_del_dia)</t>
        </is>
      </c>
      <c r="J17" s="10" t="inlineStr">
        <is>
          <t>venta_seguimiento := GREATEST(0, ingresos_reales - ventas_del_dia)</t>
        </is>
      </c>
      <c r="K17" s="11" t="inlineStr">
        <is>
          <t>Idéntico en ambas.</t>
        </is>
      </c>
    </row>
    <row r="18" ht="58" customHeight="1">
      <c r="A18" s="4" t="n">
        <v>14</v>
      </c>
      <c r="B18" s="5" t="inlineStr">
        <is>
          <t>3. EFECTIVIDAD</t>
        </is>
      </c>
      <c r="C18" s="5" t="inlineStr">
        <is>
          <t>EFECT. VS GESTION.</t>
        </is>
      </c>
      <c r="D18" s="5" t="inlineStr">
        <is>
          <t>efectividad</t>
        </is>
      </c>
      <c r="E18" s="5" t="inlineStr">
        <is>
          <t>De cada 100 leads trabajables, cuántos terminaron en venta registrada en Jotform. Es el indicador principal del asesor.</t>
        </is>
      </c>
      <c r="F18" s="5" t="inlineStr">
        <is>
          <t>JOT / CRM</t>
        </is>
      </c>
      <c r="G18" s="5" t="inlineStr">
        <is>
          <t>Ingresos Tot. Jot</t>
        </is>
      </c>
      <c r="H18" s="5" t="inlineStr">
        <is>
          <t>Gestionables (el de pantalla)</t>
        </is>
      </c>
      <c r="I18" s="6" t="inlineStr">
        <is>
          <t>ROUND(ingresos_reales::numeric / NULLIF(gestionables,0) * 100, 1)</t>
        </is>
      </c>
      <c r="J18" s="6" t="inlineStr">
        <is>
          <t>ROUND(ingresos_reales::numeric / NULLIF(gestionables,0) * 100, 1)</t>
        </is>
      </c>
      <c r="K18" s="7" t="inlineStr">
        <is>
          <t>Se calcula en el frontend sumando primero todas las filas.</t>
        </is>
      </c>
    </row>
    <row r="19" ht="58" customHeight="1">
      <c r="A19" s="8" t="n">
        <v>15</v>
      </c>
      <c r="B19" s="9" t="inlineStr">
        <is>
          <t>3. EFECTIVIDAD</t>
        </is>
      </c>
      <c r="C19" s="9" t="inlineStr">
        <is>
          <t>EFECT. VS LEADS TOT.</t>
        </is>
      </c>
      <c r="D19" s="9" t="inlineStr">
        <is>
          <t>efectividadVsLeadsTotales</t>
        </is>
      </c>
      <c r="E19" s="9" t="inlineStr">
        <is>
          <t>De cada 100 leads que ENTRARON (no solo los trabajables), cuántos se convirtieron. Mide la calidad de la pauta, no del asesor.</t>
        </is>
      </c>
      <c r="F19" s="9" t="inlineStr">
        <is>
          <t>JOT / CRM</t>
        </is>
      </c>
      <c r="G19" s="9" t="inlineStr">
        <is>
          <t>Ingresos Tot. Jot</t>
        </is>
      </c>
      <c r="H19" s="9" t="inlineStr">
        <is>
          <t>Leads Totales</t>
        </is>
      </c>
      <c r="I19" s="10" t="inlineStr">
        <is>
          <t>ROUND(ingresos_reales::numeric / NULLIF(leads_totales,0) * 100, 1)</t>
        </is>
      </c>
      <c r="J19" s="10" t="inlineStr">
        <is>
          <t>ROUND(ingresos_reales::numeric / NULLIF(leads_totales,0) * 100, 1)</t>
        </is>
      </c>
      <c r="K19" s="11" t="inlineStr">
        <is>
          <t>Este indicador REEMPLAZÓ a 'Efic. Pauta'. Velsa aún la tenía y por eso mostraba una tarjeta de más — ya se eliminó.</t>
        </is>
      </c>
    </row>
    <row r="20" ht="58" customHeight="1">
      <c r="A20" s="8" t="n">
        <v>16</v>
      </c>
      <c r="B20" s="9" t="inlineStr">
        <is>
          <t>3. EFECTIVIDAD</t>
        </is>
      </c>
      <c r="C20" s="9" t="inlineStr">
        <is>
          <t>EFECT. REAL (tabla)</t>
        </is>
      </c>
      <c r="D20" s="9" t="inlineStr">
        <is>
          <t>efectividad_real</t>
        </is>
      </c>
      <c r="E20" s="9" t="inlineStr">
        <is>
          <t>Igual que 'Efect. vs Gestion.' pero con el denominador en ventana AMPLIA. Es la columna EFECT.% de la tabla KPI.</t>
        </is>
      </c>
      <c r="F20" s="9" t="inlineStr">
        <is>
          <t>JOT / ventana AMPLIA</t>
        </is>
      </c>
      <c r="G20" s="9" t="inlineStr">
        <is>
          <t>Ingresos Tot. Jot</t>
        </is>
      </c>
      <c r="H20" s="9" t="inlineStr">
        <is>
          <t>Gestionables ventana AMPLIA</t>
        </is>
      </c>
      <c r="I20" s="10" t="inlineStr">
        <is>
          <t>-- ver SQL de DESCARTE %: mismo denominador</t>
        </is>
      </c>
      <c r="J20" s="10" t="inlineStr">
        <is>
          <t>-- ver SQL de DESCARTE %: mismo denominador</t>
        </is>
      </c>
      <c r="K20" s="11" t="inlineStr">
        <is>
          <t>Por eso la tarjeta y la columna de la tabla NO dan el mismo %. Son dos denominadores distintos a propósito.</t>
        </is>
      </c>
    </row>
    <row r="21" ht="104" customHeight="1">
      <c r="A21" s="8" t="n">
        <v>17</v>
      </c>
      <c r="B21" s="9" t="inlineStr">
        <is>
          <t>3. EFECTIVIDAD</t>
        </is>
      </c>
      <c r="C21" s="9" t="inlineStr">
        <is>
          <t>EFICIENCIA %</t>
        </is>
      </c>
      <c r="D21" s="9" t="inlineStr">
        <is>
          <t>eficiencia</t>
        </is>
      </c>
      <c r="E21" s="9" t="inlineStr">
        <is>
          <t>Como la efectividad, pero descontando las ventas que quedaron en PRESERVICIO o que el cliente desistió. Mide venta que de verdad avanza.</t>
        </is>
      </c>
      <c r="F21" s="9" t="inlineStr">
        <is>
          <t>JOT / CRM</t>
        </is>
      </c>
      <c r="G21" s="9" t="inlineStr">
        <is>
          <t>Ingresos Jot con estado NOT IN (PRESERVICIO, DESISTE DEL SERVICIO)</t>
        </is>
      </c>
      <c r="H21" s="9" t="inlineStr">
        <is>
          <t>Gestionables (FECHA CRM)</t>
        </is>
      </c>
      <c r="I21" s="10" t="inlineStr">
        <is>
          <t>SELECT ROUND(
  COUNT(*) FILTER (WHERE parse_fecha_flex(j_fecha_registro_sistema::text) BETWEEN :desde AND :hasta
                     AND j_netlife_estatus_real NOT IN ('PRESERVICIO','DESISTE DEL SERVICIO'))::numeric
  / NULLIF(COUNT(*) FILTER (WHERE b_creado_el_fecha BETWEEN :desde AND :hasta
      AND UPPER(TRIM(COALESCE(b_etapa_de_la_negociacion,''))) NOT IN ('ATC','ATC/SOPORTE','FUERA DE COBERTURA','ZONA PELIGROSA','ZONAS PELIGROSAS','POSTVENTA','CONTRATO PARAMOUNT','PARAMOUNT SEGUMIENTO POR CERRAR','PARAMOUNT SEGUIMIENTO POR CERRAR','DUPLICADO','DUPLLICADO','REGULARIZACION','REGULARIZACIÓN','REMARKETING')),0)
  * 100, 2) AS eficiencia
FROM public.vw_bitrix_novonet;</t>
        </is>
      </c>
      <c r="J21" s="10" t="inlineStr">
        <is>
          <t>SELECT ROUND(
  COUNT(*) FILTER (WHERE (mv.fecha_registro_jotform - INTERVAL '5 hours')::date BETWEEN :desde AND :hasta
                     AND UPPER(TRIM(mv.estado_venta)) NOT IN ('PRESERVICIO','DESISTE DEL SERVICIO'))::numeric
  / NULLIF(COUNT(*) FILTER (WHERE mv.fecha_creacion_crm::date BETWEEN :desde AND :hasta
      AND UPPER(TRIM(COALESCE(mv.etapa_crm,''))) NOT IN ('ATC','ATC/SOPORTE','FUERA DE COBERTURA','ZONA PELIGROSA','ZONAS PELIGROSAS','POSTVENTA','CONTRATO PARAMOUNT','PARAMOUNT SEGUMIENTO POR CERRAR','PARAMOUNT SEGUIMIENTO POR CERRAR','DUPLICADO','DUPLLICADO','REGULARIZACION','REGULARIZACIÓN','REMARKETING','INNEGOCIABLE')),0)
  * 100, 2) AS eficiencia
FROM public.mv_indicadores_velsa_completo mv;</t>
        </is>
      </c>
      <c r="K21" s="11" t="inlineStr">
        <is>
          <t>Aquí el denominador SÍ es el gestionables de pantalla (ventana estrecha).</t>
        </is>
      </c>
    </row>
    <row r="22" ht="65" customHeight="1">
      <c r="A22" s="4" t="n">
        <v>18</v>
      </c>
      <c r="B22" s="5" t="inlineStr">
        <is>
          <t>4. ACTIVACIÓN</t>
        </is>
      </c>
      <c r="C22" s="5" t="inlineStr">
        <is>
          <t>ACTIVAS TOTAL</t>
        </is>
      </c>
      <c r="D22" s="5" t="inlineStr">
        <is>
          <t>real_mes</t>
        </is>
      </c>
      <c r="E22" s="5" t="inlineStr">
        <is>
          <t>Todo lo que Netlife activó dentro del rango, sin importar cuándo se registró la venta.</t>
        </is>
      </c>
      <c r="F22" s="5" t="inlineStr">
        <is>
          <t>FECHA ACTIVACIÓN</t>
        </is>
      </c>
      <c r="G22" s="5" t="inlineStr">
        <is>
          <t>Filas con estado ACTIVO activadas en el rango</t>
        </is>
      </c>
      <c r="H22" s="5" t="inlineStr">
        <is>
          <t>—</t>
        </is>
      </c>
      <c r="I22" s="6" t="inlineStr">
        <is>
          <t>SELECT COUNT(*) AS real_mes
FROM public.vw_bitrix_novonet
WHERE parse_fecha_flex(j_fecha_activacion_netlife::text) BETWEEN :desde AND :hasta
  AND j_netlife_estatus_real = 'ACTIVO';</t>
        </is>
      </c>
      <c r="J22" s="6" t="inlineStr">
        <is>
          <t>SELECT COUNT(*) AS real_mes
FROM public.mv_indicadores_velsa_completo mv
WHERE mv.fecha_activacion::date BETWEEN :desde AND :hasta
  AND mv.estado_venta = 'ACTIVO';</t>
        </is>
      </c>
      <c r="K22" s="7" t="inlineStr">
        <is>
          <t>*** NO SUMAR Activas Mes + Backlog para sacar el total: real_mes YA los incluye. Ese doble conteo fue un bug real. ***</t>
        </is>
      </c>
    </row>
    <row r="23" ht="78" customHeight="1">
      <c r="A23" s="8" t="n">
        <v>19</v>
      </c>
      <c r="B23" s="9" t="inlineStr">
        <is>
          <t>4. ACTIVACIÓN</t>
        </is>
      </c>
      <c r="C23" s="9" t="inlineStr">
        <is>
          <t>ACTIVAS MES</t>
        </is>
      </c>
      <c r="D23" s="9" t="inlineStr">
        <is>
          <t>activa_mes</t>
        </is>
      </c>
      <c r="E23" s="9" t="inlineStr">
        <is>
          <t>De las activadas en el rango, las que ADEMÁS se registraron en Jotform dentro del mismo rango. O sea: vendido y activado en el mismo mes.</t>
        </is>
      </c>
      <c r="F23" s="9" t="inlineStr">
        <is>
          <t>FECHA ACTIVACIÓN + FECHA JOT</t>
        </is>
      </c>
      <c r="G23" s="9" t="inlineStr">
        <is>
          <t>Activas del rango cuya FECHA JOT también cae en el rango</t>
        </is>
      </c>
      <c r="H23" s="9" t="inlineStr">
        <is>
          <t>—</t>
        </is>
      </c>
      <c r="I23" s="10" t="inlineStr">
        <is>
          <t>SELECT COUNT(*) AS activa_mes
FROM public.vw_bitrix_novonet
WHERE parse_fecha_flex(j_fecha_activacion_netlife::text) BETWEEN :desde AND :hasta
  AND j_netlife_estatus_real = 'ACTIVO'
  AND parse_fecha_flex(j_fecha_registro_sistema::text) BETWEEN :desde AND :hasta;</t>
        </is>
      </c>
      <c r="J23" s="10" t="inlineStr">
        <is>
          <t>SELECT COUNT(*) AS activa_mes
FROM public.mv_indicadores_velsa_completo mv
WHERE mv.fecha_activacion::date BETWEEN :desde AND :hasta
  AND mv.estado_venta = 'ACTIVO'
  AND (mv.fecha_registro_jotform - INTERVAL '5 hours')::date BETWEEN :desde AND :hasta;</t>
        </is>
      </c>
      <c r="K23" s="11" t="inlineStr">
        <is>
          <t>Ajuste 2026-08-13: antes comparaba contra fecha de creación CRM, que es otra fecha.</t>
        </is>
      </c>
    </row>
    <row r="24" ht="58" customHeight="1">
      <c r="A24" s="8" t="n">
        <v>20</v>
      </c>
      <c r="B24" s="9" t="inlineStr">
        <is>
          <t>4. ACTIVACIÓN</t>
        </is>
      </c>
      <c r="C24" s="9" t="inlineStr">
        <is>
          <t>ACTIVAS BACKLOG</t>
        </is>
      </c>
      <c r="D24" s="9" t="inlineStr">
        <is>
          <t>backlog</t>
        </is>
      </c>
      <c r="E24" s="9" t="inlineStr">
        <is>
          <t>Ventas de meses ANTERIORES que recién se activaron este mes. Es el arrastre.</t>
        </is>
      </c>
      <c r="F24" s="9" t="inlineStr">
        <is>
          <t>derivado</t>
        </is>
      </c>
      <c r="G24" s="9" t="inlineStr">
        <is>
          <t>—</t>
        </is>
      </c>
      <c r="H24" s="9" t="inlineStr">
        <is>
          <t>—</t>
        </is>
      </c>
      <c r="I24" s="10" t="inlineStr">
        <is>
          <t>backlog := GREATEST(0, real_mes - activa_mes)</t>
        </is>
      </c>
      <c r="J24" s="10" t="inlineStr">
        <is>
          <t>backlog := GREATEST(0, real_mes - activa_mes)</t>
        </is>
      </c>
      <c r="K24" s="11" t="inlineStr">
        <is>
          <t>Antes venía de una consulta aparte con otro criterio y por eso Mes + Backlog no cuadraba con Totales.</t>
        </is>
      </c>
    </row>
    <row r="25" ht="78" customHeight="1">
      <c r="A25" s="8" t="n">
        <v>21</v>
      </c>
      <c r="B25" s="9" t="inlineStr">
        <is>
          <t>4. ACTIVACIÓN</t>
        </is>
      </c>
      <c r="C25" s="9" t="inlineStr">
        <is>
          <t>TASA INST. %</t>
        </is>
      </c>
      <c r="D25" s="9" t="inlineStr">
        <is>
          <t>tasa_instalacion</t>
        </is>
      </c>
      <c r="E25" s="9" t="inlineStr">
        <is>
          <t>De cada 100 ventas registradas en Jotform, cuántas terminaron instaladas y activas.</t>
        </is>
      </c>
      <c r="F25" s="9" t="inlineStr">
        <is>
          <t>FECHA JOT</t>
        </is>
      </c>
      <c r="G25" s="9" t="inlineStr">
        <is>
          <t>Ventas Jotform con estado ACTIVO</t>
        </is>
      </c>
      <c r="H25" s="9" t="inlineStr">
        <is>
          <t>Ingresos Tot. Jot</t>
        </is>
      </c>
      <c r="I25" s="10" t="inlineStr">
        <is>
          <t>SELECT ROUND(
  COUNT(*) FILTER (WHERE j_netlife_estatus_real='ACTIVO')::numeric
  / NULLIF(COUNT(*),0) * 100, 2) AS tasa_instalacion
FROM public.vw_bitrix_novonet
WHERE parse_fecha_flex(j_fecha_registro_sistema::text) BETWEEN :desde AND :hasta;</t>
        </is>
      </c>
      <c r="J25" s="10" t="inlineStr">
        <is>
          <t>SELECT ROUND(
  COUNT(*) FILTER (WHERE mv.estado_venta='ACTIVO')::numeric
  / NULLIF(COUNT(*),0) * 100, 2) AS tasa_instalacion
FROM public.mv_indicadores_velsa_completo mv
WHERE (mv.fecha_registro_jotform - INTERVAL '5 hours')::date BETWEEN :desde AND :hasta;</t>
        </is>
      </c>
      <c r="K25" s="11" t="inlineStr">
        <is>
          <t>Ambas por FECHA JOT (numerador y denominador), así el % es coherente.</t>
        </is>
      </c>
    </row>
    <row r="26" ht="58" customHeight="1">
      <c r="A26" s="4" t="n">
        <v>22</v>
      </c>
      <c r="B26" s="5" t="inlineStr">
        <is>
          <t>5. CALIDAD</t>
        </is>
      </c>
      <c r="C26" s="5" t="inlineStr">
        <is>
          <t>TARJETA %</t>
        </is>
      </c>
      <c r="D26" s="5" t="inlineStr">
        <is>
          <t>tarjeta_credito</t>
        </is>
      </c>
      <c r="E26" s="5" t="inlineStr">
        <is>
          <t>Qué porcentaje de las ventas se pagó con tarjeta de crédito.</t>
        </is>
      </c>
      <c r="F26" s="5" t="inlineStr">
        <is>
          <t>FECHA JOT</t>
        </is>
      </c>
      <c r="G26" s="5" t="inlineStr">
        <is>
          <t>Ventas con forma de pago tarjeta</t>
        </is>
      </c>
      <c r="H26" s="5" t="inlineStr">
        <is>
          <t>Ingresos Tot. Jot</t>
        </is>
      </c>
      <c r="I26" s="6" t="inlineStr">
        <is>
          <t>SELECT COUNT(*) FILTER (WHERE j_forma_pago = 'TARJETA DE CREDITO.') AS tarjeta_credito
FROM public.vw_bitrix_novonet
WHERE parse_fecha_flex(j_fecha_registro_sistema::text) BETWEEN :desde AND :hasta;</t>
        </is>
      </c>
      <c r="J26" s="6" t="inlineStr">
        <is>
          <t>SELECT COUNT(*) FILTER (WHERE mv.forma_pago ILIKE '%TARJETA DE CREDITO%') AS tarjeta_credito
FROM public.mv_indicadores_velsa_completo mv
WHERE (mv.fecha_registro_jotform - INTERVAL '5 hours')::date BETWEEN :desde AND :hasta;</t>
        </is>
      </c>
      <c r="K26" s="7" t="inlineStr">
        <is>
          <t>OJO: Novonet compara EXACTO con punto final ('TARJETA DE CREDITO.'); Velsa usa ILIKE. Si Novonet cambia el texto en Jotform, ese conteo se cae a 0.</t>
        </is>
      </c>
    </row>
    <row r="27" ht="78" customHeight="1">
      <c r="A27" s="8" t="n">
        <v>23</v>
      </c>
      <c r="B27" s="9" t="inlineStr">
        <is>
          <t>5. CALIDAD</t>
        </is>
      </c>
      <c r="C27" s="9" t="inlineStr">
        <is>
          <t>3RA EDAD %</t>
        </is>
      </c>
      <c r="D27" s="9" t="inlineStr">
        <is>
          <t>tercera_edad</t>
        </is>
      </c>
      <c r="E27" s="9" t="inlineStr">
        <is>
          <t>Qué porcentaje de las ventas ACTIVAS aplicó descuento de tercera edad.</t>
        </is>
      </c>
      <c r="F27" s="9" t="inlineStr">
        <is>
          <t>FECHA JOT</t>
        </is>
      </c>
      <c r="G27" s="9" t="inlineStr">
        <is>
          <t>Ventas activas con descuento tercera edad</t>
        </is>
      </c>
      <c r="H27" s="9" t="inlineStr">
        <is>
          <t>Activas Total (real_mes)</t>
        </is>
      </c>
      <c r="I27" s="10" t="inlineStr">
        <is>
          <t>SELECT COUNT(*) FILTER (
  WHERE j_aplica_descuento_3ra_edad = 'SI POR TERCERA EDAD'
    AND j_netlife_estatus_real = 'ACTIVO') AS tercera_edad
FROM public.vw_bitrix_novonet
WHERE parse_fecha_flex(j_fecha_registro_sistema::text) BETWEEN :desde AND :hasta;</t>
        </is>
      </c>
      <c r="J27" s="10" t="inlineStr">
        <is>
          <t>SELECT COUNT(*) FILTER (
  WHERE mv.aplica_descuento ILIKE '%TERCERA EDAD%'
    AND mv.estado_venta = 'ACTIVO') AS tercera_edad
FROM public.mv_indicadores_velsa_completo mv
WHERE (mv.fecha_registro_jotform - INTERVAL '5 hours')::date BETWEEN :desde AND :hasta;</t>
        </is>
      </c>
      <c r="K27" s="11" t="inlineStr">
        <is>
          <t>El numerador va por FECHA JOT pero el denominador (real_mes) va por FECHA ACTIVACIÓN. Son bases distintas.</t>
        </is>
      </c>
    </row>
    <row r="28" ht="65" customHeight="1">
      <c r="A28" s="8" t="n">
        <v>24</v>
      </c>
      <c r="B28" s="9" t="inlineStr">
        <is>
          <t>5. CALIDAD</t>
        </is>
      </c>
      <c r="C28" s="9" t="inlineStr">
        <is>
          <t>POR REGULARIZAR (tarjeta)</t>
        </is>
      </c>
      <c r="D28" s="9" t="inlineStr">
        <is>
          <t>por_regularizar</t>
        </is>
      </c>
      <c r="E28" s="9" t="inlineStr">
        <is>
          <t>Ventas que quedaron marcadas 'POR REGULARIZAR' en el estatus de regularización.</t>
        </is>
      </c>
      <c r="F28" s="9" t="inlineStr">
        <is>
          <t>FECHA JOT</t>
        </is>
      </c>
      <c r="G28" s="9" t="inlineStr">
        <is>
          <t>Ventas con estatus_regularizacion = 'POR REGULARIZAR'</t>
        </is>
      </c>
      <c r="H28" s="9" t="inlineStr">
        <is>
          <t>—</t>
        </is>
      </c>
      <c r="I28" s="10" t="inlineStr">
        <is>
          <t>SELECT COUNT(*) AS por_regularizar
FROM public.vw_bitrix_novonet
WHERE parse_fecha_flex(j_fecha_registro_sistema::text) BETWEEN :desde AND :hasta
  AND j_estatus_regularizacion = 'POR REGULARIZAR';</t>
        </is>
      </c>
      <c r="J28" s="10" t="inlineStr">
        <is>
          <t>SELECT COUNT(*) AS por_regularizar
FROM public.mv_indicadores_velsa_completo mv
WHERE (mv.fecha_registro_jotform - INTERVAL '5 hours')::date BETWEEN :desde AND :hasta
  AND UPPER(TRIM(mv.estado_regularizacion)) = 'POR REGULARIZAR';</t>
        </is>
      </c>
      <c r="K28" s="11" t="inlineStr">
        <is>
          <t>CORREGIDO 2026-08-17: Velsa usaba el otro campo (regularizacion) y por eso no coincidía con Novonet.</t>
        </is>
      </c>
    </row>
    <row r="29" ht="78" customHeight="1">
      <c r="A29" s="8" t="n">
        <v>25</v>
      </c>
      <c r="B29" s="9" t="inlineStr">
        <is>
          <t>5. CALIDAD</t>
        </is>
      </c>
      <c r="C29" s="9" t="inlineStr">
        <is>
          <t>REGU. (columna tabla)</t>
        </is>
      </c>
      <c r="D29" s="9" t="inlineStr">
        <is>
          <t>regularizacion</t>
        </is>
      </c>
      <c r="E29" s="9" t="inlineStr">
        <is>
          <t>Igual que la tarjeta, pero descontando las que ya no aplican: fuera de cobertura, desistió o rechazado.</t>
        </is>
      </c>
      <c r="F29" s="9" t="inlineStr">
        <is>
          <t>FECHA JOT</t>
        </is>
      </c>
      <c r="G29" s="9" t="inlineStr">
        <is>
          <t>'POR REGULARIZAR' menos 3 estados</t>
        </is>
      </c>
      <c r="H29" s="9" t="inlineStr">
        <is>
          <t>—</t>
        </is>
      </c>
      <c r="I29" s="10" t="inlineStr">
        <is>
          <t>SELECT COUNT(*) AS regularizacion
FROM public.vw_bitrix_novonet
WHERE parse_fecha_flex(j_fecha_registro_sistema::text) BETWEEN :desde AND :hasta
  AND j_estatus_regularizacion = 'POR REGULARIZAR'
  AND j_netlife_estatus_real NOT IN ('FUERA DE COBERTURA','DESISTE DEL SERVICIO','RECHAZADO');</t>
        </is>
      </c>
      <c r="J29" s="10" t="inlineStr">
        <is>
          <t>SELECT COUNT(*) AS regularizacion
FROM public.mv_indicadores_velsa_completo mv
WHERE (mv.fecha_registro_jotform - INTERVAL '5 hours')::date BETWEEN :desde AND :hasta
  AND UPPER(TRIM(mv.estado_regularizacion)) = 'POR REGULARIZAR'
  AND UPPER(TRIM(mv.estado_venta)) NOT IN ('FUERA DE COBERTURA','DESISTE DEL SERVICIO','RECHAZADO');</t>
        </is>
      </c>
      <c r="K29" s="11" t="inlineStr">
        <is>
          <t>La tarjeta y la columna REGU. dan números distintos A PROPÓSITO. No es un error.</t>
        </is>
      </c>
    </row>
    <row r="30" ht="117" customHeight="1">
      <c r="A30" s="4" t="n">
        <v>26</v>
      </c>
      <c r="B30" s="5" t="inlineStr">
        <is>
          <t>6. PLANES</t>
        </is>
      </c>
      <c r="C30" s="5" t="inlineStr">
        <is>
          <t>PLANES POR CATEGORÍA</t>
        </is>
      </c>
      <c r="D30" s="5" t="inlineStr">
        <is>
          <t>planesPorCategoria</t>
        </is>
      </c>
      <c r="E30" s="5" t="inlineStr">
        <is>
          <t>Cuántas ventas entraron y cuántas se activaron, partidas en Hogar / Pymes / Adulto Mayor. Un registro cuenta si la columna del plan no está vacía.</t>
        </is>
      </c>
      <c r="F30" s="5" t="inlineStr">
        <is>
          <t>FECHA JOT</t>
        </is>
      </c>
      <c r="G30" s="5" t="inlineStr">
        <is>
          <t>Ventas con la columna del plan llena ('Activos' añade estado ACTIVO)</t>
        </is>
      </c>
      <c r="H30" s="5" t="inlineStr">
        <is>
          <t>—</t>
        </is>
      </c>
      <c r="I30" s="6" t="inlineStr">
        <is>
          <t>-- HOGAR = plan_casa | PYMES = plan_pyme o plan_pyme_corp
-- ADULTO MAYOR = plan_hogar_adulto_mayor
SELECT
  COUNT(*) FILTER (WHERE COALESCE(TRIM(j_plan_casa),'') &lt;&gt; '') AS hogar_ingresados,
  COUNT(*) FILTER (WHERE COALESCE(TRIM(j_plan_casa),'') &lt;&gt; ''
                     AND j_netlife_estatus_real='ACTIVO')      AS hogar_activos
FROM public.vw_bitrix_novonet
WHERE parse_fecha_flex(j_fecha_registro_sistema::text) BETWEEN :desde AND :hasta;</t>
        </is>
      </c>
      <c r="J30" s="6" t="inlineStr">
        <is>
          <t>SELECT
  COUNT(*) FILTER (WHERE COALESCE(TRIM(mv.plan_casa::text),'') &lt;&gt; '') AS hogar_ingresados,
  COUNT(*) FILTER (WHERE COALESCE(TRIM(mv.plan_casa::text),'') &lt;&gt; ''
                     AND mv.estado_venta='ACTIVO')                    AS hogar_activos
FROM public.mv_indicadores_velsa_completo mv
WHERE (mv.fecha_registro_jotform - INTERVAL '5 hours')::date BETWEEN :desde AND :hasta;</t>
        </is>
      </c>
      <c r="K30" s="7" t="inlineStr">
        <is>
          <t>CORREGIDO 2026-08-17: en Velsa el JOIN usaba id_negociacion_bitrix, columna 100% NULL. La llave real es id_bitrix_ghl. Por eso TODOS los planes salían en 0.</t>
        </is>
      </c>
    </row>
    <row r="31" ht="58" customHeight="1">
      <c r="A31" s="4" t="n">
        <v>27</v>
      </c>
      <c r="B31" s="5" t="inlineStr">
        <is>
          <t>7. METAS</t>
        </is>
      </c>
      <c r="C31" s="5" t="inlineStr">
        <is>
          <t>METAS</t>
        </is>
      </c>
      <c r="D31" s="5" t="inlineStr">
        <is>
          <t>METAS_COMERCIALES / _VELSA</t>
        </is>
      </c>
      <c r="E31" s="5" t="inlineStr">
        <is>
          <t>Las metas NO se calculan, están configuradas a mano en el código. metaDinamica() las prorratea según los días que elijas en el filtro.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6" t="inlineStr">
        <is>
          <t>-- frontend/src/pages/Indicadores.jsx → METAS_COMERCIALES</t>
        </is>
      </c>
      <c r="J31" s="6" t="inlineStr">
        <is>
          <t>-- frontend/src/pages/IndicadoresVelsa.jsx → METAS_COMERCIALES_VELSA
-- (recalibradas 2026-08-17 con el export real de agosto)</t>
        </is>
      </c>
      <c r="K31" s="7" t="inlineStr">
        <is>
          <t>meta_mostrada = FLOOR(meta_mensual * dias_del_filtro / dias_del_mes). PENDIENTE: moverlas a base de datos para no depender de un deploy.</t>
        </is>
      </c>
    </row>
  </sheetData>
  <autoFilter ref="A4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2" t="inlineStr">
        <is>
          <t>LISTAS OFICIALES DE ETAPAS (backend/src/shared/etapas.js)</t>
        </is>
      </c>
    </row>
    <row r="3" ht="28" customHeight="1">
      <c r="A3" s="13" t="inlineStr">
        <is>
          <t>NO SUMAN COMO LEAD</t>
        </is>
      </c>
      <c r="B3" s="13" t="inlineStr">
        <is>
          <t>NO GESTIONABLES (base)</t>
        </is>
      </c>
      <c r="C3" s="13" t="inlineStr">
        <is>
          <t>INNEGOCIABLE</t>
        </is>
      </c>
      <c r="D3" s="13" t="inlineStr">
        <is>
          <t>DESCARTE</t>
        </is>
      </c>
    </row>
    <row r="4">
      <c r="A4" s="14" t="inlineStr">
        <is>
          <t>DUPLICADO</t>
        </is>
      </c>
      <c r="B4" s="14" t="inlineStr">
        <is>
          <t>ATC</t>
        </is>
      </c>
      <c r="C4" s="14" t="inlineStr">
        <is>
          <t>NOVONET: SÍ es gestionable</t>
        </is>
      </c>
      <c r="D4" s="14" t="inlineStr">
        <is>
          <t>CONTRATO NETLIFE</t>
        </is>
      </c>
    </row>
    <row r="5">
      <c r="A5" s="14" t="inlineStr">
        <is>
          <t>DUPLLICADO (typo real)</t>
        </is>
      </c>
      <c r="B5" s="14" t="inlineStr">
        <is>
          <t>ATC/SOPORTE</t>
        </is>
      </c>
      <c r="C5" s="14" t="inlineStr">
        <is>
          <t>VELSA: NO es gestionable</t>
        </is>
      </c>
      <c r="D5" s="14" t="inlineStr">
        <is>
          <t>DESCARTE</t>
        </is>
      </c>
    </row>
    <row r="6">
      <c r="A6" s="14" t="inlineStr">
        <is>
          <t>REGULARIZACION</t>
        </is>
      </c>
      <c r="B6" s="14" t="inlineStr">
        <is>
          <t>FUERA DE COBERTURA</t>
        </is>
      </c>
      <c r="C6" s="14" t="inlineStr">
        <is>
          <t>*** DIFERENCIA ABIERTA ***</t>
        </is>
      </c>
      <c r="D6" s="14" t="inlineStr">
        <is>
          <t>DESISTE DE COMPRA</t>
        </is>
      </c>
    </row>
    <row r="7">
      <c r="A7" s="14" t="inlineStr">
        <is>
          <t>REGULARIZACIÓN</t>
        </is>
      </c>
      <c r="B7" s="14" t="inlineStr">
        <is>
          <t>ZONA PELIGROSA</t>
        </is>
      </c>
      <c r="D7" s="14" t="inlineStr">
        <is>
          <t>MANTIENE PROVEEDOR</t>
        </is>
      </c>
    </row>
    <row r="8">
      <c r="A8" s="14" t="inlineStr">
        <is>
          <t>REMARKETING</t>
        </is>
      </c>
      <c r="B8" s="14" t="inlineStr">
        <is>
          <t>ZONAS PELIGROSAS</t>
        </is>
      </c>
      <c r="D8" s="14" t="inlineStr">
        <is>
          <t>NO INTERESA COSTO PLAN</t>
        </is>
      </c>
    </row>
    <row r="9">
      <c r="B9" s="14" t="inlineStr">
        <is>
          <t>POSTVENTA (exacto — 'POSTVENTA NOVONET' SÍ es gestionable)</t>
        </is>
      </c>
      <c r="D9" s="14" t="inlineStr">
        <is>
          <t>NO VOLVER A CONTACTAR</t>
        </is>
      </c>
    </row>
    <row r="10">
      <c r="B10" s="14" t="inlineStr">
        <is>
          <t>CONTRATO PARAMOUNT</t>
        </is>
      </c>
      <c r="D10" s="14" t="inlineStr">
        <is>
          <t>OTRO PROVEEDOR</t>
        </is>
      </c>
    </row>
    <row r="11">
      <c r="B11" s="14" t="inlineStr">
        <is>
          <t>PARAMOUNT SEGUMIENTO POR CERRAR</t>
        </is>
      </c>
      <c r="D11" s="14" t="inlineStr">
        <is>
          <t>DESCARTE REMARKETIZADO</t>
        </is>
      </c>
    </row>
    <row r="12">
      <c r="B12" s="14" t="inlineStr">
        <is>
          <t>PARAMOUNT SEGUIMIENTO POR CERRAR</t>
        </is>
      </c>
      <c r="D12" s="14" t="inlineStr">
        <is>
          <t>CONTRATO NETLIFE POR OTRO CANAL</t>
        </is>
      </c>
    </row>
    <row r="13">
      <c r="B13" s="14" t="inlineStr">
        <is>
          <t>+ las 5 de la columna anterior</t>
        </is>
      </c>
      <c r="D13" s="14" t="inlineStr">
        <is>
          <t>DESCARTE PLAN DE 200</t>
        </is>
      </c>
    </row>
    <row r="14">
      <c r="D14" s="14" t="inlineStr">
        <is>
          <t>NO INTERESA COSTO INSTALACIÓN</t>
        </is>
      </c>
    </row>
    <row r="15">
      <c r="D15" s="14" t="inlineStr">
        <is>
          <t>NO INTERESA COSTO INSTALACION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2026-08-18T04:13:08Z</dcterms:created>
  <dcterms:modified xmlns:dcterms="http://purl.org/dc/terms/" xmlns:xsi="http://www.w3.org/2001/XMLSchema-instance" xsi:type="dcterms:W3CDTF">2026-08-18T04:13:08Z</dcterms:modified>
</cp:coreProperties>
</file>